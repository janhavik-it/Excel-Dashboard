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le\OneDrive\Documents\"/>
    </mc:Choice>
  </mc:AlternateContent>
  <xr:revisionPtr revIDLastSave="0" documentId="13_ncr:1_{69701435-B01E-47B2-9A7C-49DB7AC7AF4E}" xr6:coauthVersionLast="47" xr6:coauthVersionMax="47" xr10:uidLastSave="{00000000-0000-0000-0000-000000000000}"/>
  <bookViews>
    <workbookView xWindow="-120" yWindow="-120" windowWidth="20730" windowHeight="11040" xr2:uid="{C386E077-F7D0-4E39-9137-361A65499AA2}"/>
  </bookViews>
  <sheets>
    <sheet name="Inventory data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H13" i="1"/>
  <c r="I13" i="1"/>
  <c r="J13" i="1"/>
  <c r="K13" i="1"/>
  <c r="L13" i="1"/>
  <c r="M13" i="1"/>
  <c r="F13" i="1"/>
  <c r="M3" i="1"/>
  <c r="M4" i="1"/>
  <c r="M5" i="1"/>
  <c r="M6" i="1"/>
  <c r="M7" i="1"/>
  <c r="M8" i="1"/>
  <c r="M9" i="1"/>
  <c r="M10" i="1"/>
  <c r="M11" i="1"/>
  <c r="M2" i="1"/>
  <c r="K3" i="1"/>
  <c r="K4" i="1"/>
  <c r="K5" i="1"/>
  <c r="K6" i="1"/>
  <c r="K7" i="1"/>
  <c r="K8" i="1"/>
  <c r="K9" i="1"/>
  <c r="K10" i="1"/>
  <c r="K11" i="1"/>
  <c r="K2" i="1"/>
  <c r="I4" i="1"/>
  <c r="I5" i="1"/>
  <c r="I8" i="1"/>
  <c r="I9" i="1"/>
  <c r="I2" i="1"/>
  <c r="H3" i="1"/>
  <c r="I3" i="1" s="1"/>
  <c r="H4" i="1"/>
  <c r="H5" i="1"/>
  <c r="H6" i="1"/>
  <c r="I6" i="1" s="1"/>
  <c r="H7" i="1"/>
  <c r="H8" i="1"/>
  <c r="J8" i="1" s="1"/>
  <c r="H9" i="1"/>
  <c r="J9" i="1" s="1"/>
  <c r="H10" i="1"/>
  <c r="H11" i="1"/>
  <c r="H2" i="1"/>
  <c r="J2" i="1" s="1"/>
  <c r="J11" i="1" l="1"/>
  <c r="J7" i="1"/>
  <c r="J3" i="1"/>
  <c r="J10" i="1"/>
  <c r="J6" i="1"/>
  <c r="I11" i="1"/>
  <c r="I7" i="1"/>
  <c r="J5" i="1"/>
  <c r="I10" i="1"/>
  <c r="J4" i="1"/>
</calcChain>
</file>

<file path=xl/sharedStrings.xml><?xml version="1.0" encoding="utf-8"?>
<sst xmlns="http://schemas.openxmlformats.org/spreadsheetml/2006/main" count="36" uniqueCount="27">
  <si>
    <t xml:space="preserve">Supplier name </t>
  </si>
  <si>
    <t xml:space="preserve"> Qty</t>
  </si>
  <si>
    <t>Product name</t>
  </si>
  <si>
    <t>Date of purchase</t>
  </si>
  <si>
    <t>Date of expiry</t>
  </si>
  <si>
    <t xml:space="preserve"> </t>
  </si>
  <si>
    <t xml:space="preserve">serial no </t>
  </si>
  <si>
    <t>AJ Supplier</t>
  </si>
  <si>
    <t>Bhavani Supplier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</si>
  <si>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</si>
  <si>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</si>
  <si>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</si>
  <si>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</si>
  <si>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</si>
  <si>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</si>
  <si>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</si>
  <si>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</si>
  <si>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</si>
  <si>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</si>
  <si>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Total amount</t>
  </si>
  <si>
    <t xml:space="preserve">Cost  price </t>
  </si>
  <si>
    <t>Amount after GST</t>
  </si>
  <si>
    <t>CGST(12%)</t>
  </si>
  <si>
    <t>SGST(8%)</t>
  </si>
  <si>
    <t>Selling price</t>
  </si>
  <si>
    <t>Total Sales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</si>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</sst>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1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9A75-5B53-44A7-B4BD-2224587F8555}">
  <dimension ref="A1:M18"/>
  <sheetViews>
    <sheetView tabSelected="1" workbookViewId="0">
      <selection activeCell="M18" sqref="M18"/>
    </sheetView>
  </sheetViews>
  <sheetFormatPr defaultRowHeight="15" x14ac:dyDescent="0.25"/>
  <cols>
    <col min="1" max="1" width="9" bestFit="1" customWidth="1"/>
    <col min="2" max="2" width="16" bestFit="1" customWidth="1"/>
    <col min="3" max="3" width="13.42578125" bestFit="1" customWidth="1"/>
    <col min="4" max="4" width="16" bestFit="1" customWidth="1"/>
    <col min="5" max="5" width="13.5703125" bestFit="1" customWidth="1"/>
    <col min="7" max="7" width="11.7109375" customWidth="1"/>
    <col min="8" max="8" width="12.7109375" bestFit="1" customWidth="1"/>
    <col min="9" max="9" width="10.42578125" bestFit="1" customWidth="1"/>
    <col min="11" max="11" width="16.7109375" bestFit="1" customWidth="1"/>
    <col min="12" max="12" width="12.28515625" customWidth="1"/>
    <col min="13" max="13" width="12.42578125" customWidth="1"/>
  </cols>
  <sheetData>
    <row r="1" spans="1:13" x14ac:dyDescent="0.25">
      <c r="A1" s="2" t="s">
        <v>6</v>
      </c>
      <c r="B1" s="2" t="s">
        <v>0</v>
      </c>
      <c r="C1" s="2" t="s">
        <v>2</v>
      </c>
      <c r="D1" s="5" t="s">
        <v>3</v>
      </c>
      <c r="E1" s="5" t="s">
        <v>4</v>
      </c>
      <c r="F1" s="2" t="s">
        <v>1</v>
      </c>
      <c r="G1" s="5" t="s">
        <v>20</v>
      </c>
      <c r="H1" s="5" t="s">
        <v>19</v>
      </c>
      <c r="I1" s="5" t="s">
        <v>22</v>
      </c>
      <c r="J1" s="5" t="s">
        <v>23</v>
      </c>
      <c r="K1" s="5" t="s">
        <v>21</v>
      </c>
      <c r="L1" s="2" t="s">
        <v>24</v>
      </c>
      <c r="M1" s="2" t="s">
        <v>25</v>
      </c>
    </row>
    <row r="2" spans="1:13" x14ac:dyDescent="0.25">
      <c r="A2" s="1">
        <v>1</v>
      </c>
      <c r="B2" s="1" t="s">
        <v>7</v>
      </c>
      <c r="C2" s="1" t="s">
        <v>9</v>
      </c>
      <c r="D2" s="3">
        <v>46190</v>
      </c>
      <c r="E2" s="3">
        <v>46220</v>
      </c>
      <c r="F2" s="1">
        <v>12</v>
      </c>
      <c r="G2" s="1">
        <v>152</v>
      </c>
      <c r="H2" s="1">
        <f>F2*G2</f>
        <v>1824</v>
      </c>
      <c r="I2" s="4">
        <f>H2*12%</f>
        <v>218.88</v>
      </c>
      <c r="J2" s="4">
        <f>H2*8%</f>
        <v>145.92000000000002</v>
      </c>
      <c r="K2" s="4">
        <f>SUM(H2,I2,J2)</f>
        <v>2188.8000000000002</v>
      </c>
      <c r="L2" s="4">
        <v>160</v>
      </c>
      <c r="M2" s="1">
        <f>L2*F2</f>
        <v>1920</v>
      </c>
    </row>
    <row r="3" spans="1:13" x14ac:dyDescent="0.25">
      <c r="A3" s="1">
        <v>2</v>
      </c>
      <c r="B3" s="1" t="s">
        <v>7</v>
      </c>
      <c r="C3" s="1" t="s">
        <v>10</v>
      </c>
      <c r="D3" s="3">
        <v>46190</v>
      </c>
      <c r="E3" s="3">
        <v>46220</v>
      </c>
      <c r="F3" s="1">
        <v>32</v>
      </c>
      <c r="G3" s="1">
        <v>168</v>
      </c>
      <c r="H3" s="1">
        <f t="shared" ref="H3:H11" si="0">F3*G3</f>
        <v>5376</v>
      </c>
      <c r="I3" s="4">
        <f t="shared" ref="I3:I11" si="1">H3*12%</f>
        <v>645.12</v>
      </c>
      <c r="J3" s="4">
        <f t="shared" ref="J3:J11" si="2">H3*8%</f>
        <v>430.08</v>
      </c>
      <c r="K3" s="4">
        <f t="shared" ref="K3:K11" si="3">SUM(H3,I3,J3)</f>
        <v>6451.2</v>
      </c>
      <c r="L3" s="4">
        <v>180</v>
      </c>
      <c r="M3" s="1">
        <f t="shared" ref="M3:M11" si="4">L3*F3</f>
        <v>5760</v>
      </c>
    </row>
    <row r="4" spans="1:13" x14ac:dyDescent="0.25">
      <c r="A4" s="1">
        <v>3</v>
      </c>
      <c r="B4" s="1" t="s">
        <v>7</v>
      </c>
      <c r="C4" s="1" t="s">
        <v>11</v>
      </c>
      <c r="D4" s="3">
        <v>46190</v>
      </c>
      <c r="E4" s="3">
        <v>46220</v>
      </c>
      <c r="F4" s="1">
        <v>15</v>
      </c>
      <c r="G4" s="1">
        <v>95</v>
      </c>
      <c r="H4" s="1">
        <f t="shared" si="0"/>
        <v>1425</v>
      </c>
      <c r="I4" s="4">
        <f t="shared" si="1"/>
        <v>171</v>
      </c>
      <c r="J4" s="4">
        <f t="shared" si="2"/>
        <v>114</v>
      </c>
      <c r="K4" s="4">
        <f t="shared" si="3"/>
        <v>1710</v>
      </c>
      <c r="L4" s="4">
        <v>105</v>
      </c>
      <c r="M4" s="1">
        <f t="shared" si="4"/>
        <v>1575</v>
      </c>
    </row>
    <row r="5" spans="1:13" x14ac:dyDescent="0.25">
      <c r="A5" s="1">
        <v>4</v>
      </c>
      <c r="B5" s="1" t="s">
        <v>7</v>
      </c>
      <c r="C5" s="1" t="s">
        <v>12</v>
      </c>
      <c r="D5" s="3">
        <v>46190</v>
      </c>
      <c r="E5" s="3">
        <v>46220</v>
      </c>
      <c r="F5" s="1">
        <v>54</v>
      </c>
      <c r="G5" s="1">
        <v>195</v>
      </c>
      <c r="H5" s="1">
        <f t="shared" si="0"/>
        <v>10530</v>
      </c>
      <c r="I5" s="4">
        <f t="shared" si="1"/>
        <v>1263.5999999999999</v>
      </c>
      <c r="J5" s="4">
        <f t="shared" si="2"/>
        <v>842.4</v>
      </c>
      <c r="K5" s="4">
        <f t="shared" si="3"/>
        <v>12636</v>
      </c>
      <c r="L5" s="4">
        <v>200</v>
      </c>
      <c r="M5" s="1">
        <f t="shared" si="4"/>
        <v>10800</v>
      </c>
    </row>
    <row r="6" spans="1:13" x14ac:dyDescent="0.25">
      <c r="A6" s="1">
        <v>5</v>
      </c>
      <c r="B6" s="1" t="s">
        <v>7</v>
      </c>
      <c r="C6" s="1" t="s">
        <v>13</v>
      </c>
      <c r="D6" s="3">
        <v>46190</v>
      </c>
      <c r="E6" s="3">
        <v>46220</v>
      </c>
      <c r="F6" s="1">
        <v>23</v>
      </c>
      <c r="G6" s="1">
        <v>165</v>
      </c>
      <c r="H6" s="1">
        <f t="shared" si="0"/>
        <v>3795</v>
      </c>
      <c r="I6" s="4">
        <f t="shared" si="1"/>
        <v>455.4</v>
      </c>
      <c r="J6" s="4">
        <f t="shared" si="2"/>
        <v>303.60000000000002</v>
      </c>
      <c r="K6" s="4">
        <f t="shared" si="3"/>
        <v>4554</v>
      </c>
      <c r="L6" s="4">
        <v>170</v>
      </c>
      <c r="M6" s="1">
        <f t="shared" si="4"/>
        <v>3910</v>
      </c>
    </row>
    <row r="7" spans="1:13" x14ac:dyDescent="0.25">
      <c r="A7" s="1">
        <v>6</v>
      </c>
      <c r="B7" s="1" t="s">
        <v>8</v>
      </c>
      <c r="C7" s="1" t="s">
        <v>14</v>
      </c>
      <c r="D7" s="3">
        <v>46191</v>
      </c>
      <c r="E7" s="3">
        <v>46221</v>
      </c>
      <c r="F7" s="1">
        <v>11</v>
      </c>
      <c r="G7" s="1">
        <v>125</v>
      </c>
      <c r="H7" s="1">
        <f t="shared" si="0"/>
        <v>1375</v>
      </c>
      <c r="I7" s="4">
        <f t="shared" si="1"/>
        <v>165</v>
      </c>
      <c r="J7" s="4">
        <f t="shared" si="2"/>
        <v>110</v>
      </c>
      <c r="K7" s="4">
        <f t="shared" si="3"/>
        <v>1650</v>
      </c>
      <c r="L7" s="4">
        <v>130</v>
      </c>
      <c r="M7" s="1">
        <f t="shared" si="4"/>
        <v>1430</v>
      </c>
    </row>
    <row r="8" spans="1:13" x14ac:dyDescent="0.25">
      <c r="A8" s="1">
        <v>7</v>
      </c>
      <c r="B8" s="1" t="s">
        <v>8</v>
      </c>
      <c r="C8" s="1" t="s">
        <v>15</v>
      </c>
      <c r="D8" s="3">
        <v>46191</v>
      </c>
      <c r="E8" s="3">
        <v>46221</v>
      </c>
      <c r="F8" s="1">
        <v>7</v>
      </c>
      <c r="G8" s="1">
        <v>119</v>
      </c>
      <c r="H8" s="1">
        <f t="shared" si="0"/>
        <v>833</v>
      </c>
      <c r="I8" s="4">
        <f t="shared" si="1"/>
        <v>99.96</v>
      </c>
      <c r="J8" s="4">
        <f t="shared" si="2"/>
        <v>66.64</v>
      </c>
      <c r="K8" s="4">
        <f t="shared" si="3"/>
        <v>999.6</v>
      </c>
      <c r="L8" s="4">
        <v>125</v>
      </c>
      <c r="M8" s="1">
        <f t="shared" si="4"/>
        <v>875</v>
      </c>
    </row>
    <row r="9" spans="1:13" x14ac:dyDescent="0.25">
      <c r="A9" s="1">
        <v>8</v>
      </c>
      <c r="B9" s="1" t="s">
        <v>8</v>
      </c>
      <c r="C9" s="1" t="s">
        <v>16</v>
      </c>
      <c r="D9" s="3">
        <v>46191</v>
      </c>
      <c r="E9" s="3">
        <v>46221</v>
      </c>
      <c r="F9" s="1">
        <v>31</v>
      </c>
      <c r="G9" s="1">
        <v>157</v>
      </c>
      <c r="H9" s="1">
        <f t="shared" si="0"/>
        <v>4867</v>
      </c>
      <c r="I9" s="4">
        <f t="shared" si="1"/>
        <v>584.04</v>
      </c>
      <c r="J9" s="4">
        <f t="shared" si="2"/>
        <v>389.36</v>
      </c>
      <c r="K9" s="4">
        <f t="shared" si="3"/>
        <v>5840.4</v>
      </c>
      <c r="L9" s="4">
        <v>165</v>
      </c>
      <c r="M9" s="1">
        <f t="shared" si="4"/>
        <v>5115</v>
      </c>
    </row>
    <row r="10" spans="1:13" x14ac:dyDescent="0.25">
      <c r="A10" s="1">
        <v>9</v>
      </c>
      <c r="B10" s="1" t="s">
        <v>8</v>
      </c>
      <c r="C10" s="1" t="s">
        <v>17</v>
      </c>
      <c r="D10" s="3">
        <v>46191</v>
      </c>
      <c r="E10" s="3">
        <v>46221</v>
      </c>
      <c r="F10" s="1">
        <v>42</v>
      </c>
      <c r="G10" s="1">
        <v>95</v>
      </c>
      <c r="H10" s="1">
        <f t="shared" si="0"/>
        <v>3990</v>
      </c>
      <c r="I10" s="4">
        <f t="shared" si="1"/>
        <v>478.79999999999995</v>
      </c>
      <c r="J10" s="4">
        <f t="shared" si="2"/>
        <v>319.2</v>
      </c>
      <c r="K10" s="4">
        <f t="shared" si="3"/>
        <v>4788</v>
      </c>
      <c r="L10" s="4">
        <v>100</v>
      </c>
      <c r="M10" s="1">
        <f t="shared" si="4"/>
        <v>4200</v>
      </c>
    </row>
    <row r="11" spans="1:13" x14ac:dyDescent="0.25">
      <c r="A11" s="1">
        <v>10</v>
      </c>
      <c r="B11" s="1" t="s">
        <v>8</v>
      </c>
      <c r="C11" s="1" t="s">
        <v>18</v>
      </c>
      <c r="D11" s="3">
        <v>46191</v>
      </c>
      <c r="E11" s="3">
        <v>46221</v>
      </c>
      <c r="F11" s="1">
        <v>23</v>
      </c>
      <c r="G11" s="1">
        <v>196</v>
      </c>
      <c r="H11" s="1">
        <f t="shared" si="0"/>
        <v>4508</v>
      </c>
      <c r="I11" s="4">
        <f t="shared" si="1"/>
        <v>540.96</v>
      </c>
      <c r="J11" s="4">
        <f t="shared" si="2"/>
        <v>360.64</v>
      </c>
      <c r="K11" s="4">
        <f t="shared" si="3"/>
        <v>5409.6</v>
      </c>
      <c r="L11" s="4">
        <v>205</v>
      </c>
      <c r="M11" s="1">
        <f t="shared" si="4"/>
        <v>4715</v>
      </c>
    </row>
    <row r="13" spans="1:13" x14ac:dyDescent="0.25">
      <c r="A13" s="1" t="s">
        <v>26</v>
      </c>
      <c r="B13" s="1" t="s">
        <v>5</v>
      </c>
      <c r="C13" s="1"/>
      <c r="D13" s="1"/>
      <c r="E13" s="1"/>
      <c r="F13" s="1">
        <f>SUM(F2:F11)</f>
        <v>250</v>
      </c>
      <c r="G13" s="1">
        <f t="shared" ref="G13:M13" si="5">SUM(G2:G11)</f>
        <v>1467</v>
      </c>
      <c r="H13" s="1">
        <f t="shared" si="5"/>
        <v>38523</v>
      </c>
      <c r="I13" s="1">
        <f t="shared" si="5"/>
        <v>4622.76</v>
      </c>
      <c r="J13" s="1">
        <f t="shared" si="5"/>
        <v>3081.8399999999997</v>
      </c>
      <c r="K13" s="1">
        <f t="shared" si="5"/>
        <v>46227.6</v>
      </c>
      <c r="L13" s="1">
        <f t="shared" si="5"/>
        <v>1540</v>
      </c>
      <c r="M13" s="1">
        <f t="shared" si="5"/>
        <v>40300</v>
      </c>
    </row>
    <row r="18" spans="10:10" x14ac:dyDescent="0.25">
      <c r="J1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5818E-72CE-48E2-91CB-4F1AD0CC5BF1}">
  <dimension ref="A1"/>
  <sheetViews>
    <sheetView workbookViewId="0">
      <selection activeCell="C12" sqref="C1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DDFCB-B4CF-4A3A-9CDC-50C89B99CD3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 INDIA</dc:creator>
  <cp:lastModifiedBy>SMILE INDIA</cp:lastModifiedBy>
  <dcterms:created xsi:type="dcterms:W3CDTF">2026-06-17T02:41:33Z</dcterms:created>
  <dcterms:modified xsi:type="dcterms:W3CDTF">2026-06-24T03:37:46Z</dcterms:modified>
</cp:coreProperties>
</file>